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Status" sheetId="1" state="visible" r:id="rId1"/>
    <sheet name="Summary" sheetId="2" state="visible" r:id="rId2"/>
  </sheets>
  <definedNames>
    <definedName name="_xlnm._FilterDatabase" localSheetId="0" hidden="1">'System Status'!$A$4:$F$60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0.5"/>
    </font>
    <font>
      <name val="Arial"/>
      <color rgb="001F1F1F"/>
      <sz val="10"/>
    </font>
    <font>
      <name val="Arial"/>
      <b val="1"/>
      <color rgb="001F1F1F"/>
      <sz val="10"/>
    </font>
    <font>
      <name val="Arial"/>
      <b val="1"/>
      <color rgb="00006100"/>
      <sz val="10"/>
    </font>
    <font>
      <name val="Arial"/>
      <b val="1"/>
      <color rgb="001F4E78"/>
      <sz val="10"/>
    </font>
    <font>
      <name val="Arial"/>
      <b val="1"/>
      <color rgb="009C6500"/>
      <sz val="10"/>
    </font>
    <font>
      <name val="Arial"/>
      <b val="1"/>
      <color rgb="009C5700"/>
      <sz val="10"/>
    </font>
    <font>
      <name val="Arial"/>
      <b val="1"/>
      <color rgb="009C0006"/>
      <sz val="10"/>
    </font>
  </fonts>
  <fills count="11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F6F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/>
    </xf>
    <xf numFmtId="0" fontId="6" fillId="5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indent="1"/>
    </xf>
    <xf numFmtId="0" fontId="9" fillId="9" borderId="1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left" vertical="center" indent="1"/>
    </xf>
    <xf numFmtId="0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6" customWidth="1" min="2" max="2"/>
    <col width="16" customWidth="1" min="3" max="3"/>
    <col width="24" customWidth="1" min="4" max="4"/>
    <col width="26" customWidth="1" min="5" max="5"/>
    <col width="46" customWidth="1" min="6" max="6"/>
  </cols>
  <sheetData>
    <row r="1" ht="30" customHeight="1">
      <c r="A1" s="1" t="inlineStr">
        <is>
          <t>CERAVIS AI - SYSTEM STATUS &amp; CAPABILITY REPORT</t>
        </is>
      </c>
    </row>
    <row r="2" ht="18" customHeight="1">
      <c r="A2" s="2" t="inlineStr">
        <is>
          <t>Edge AI Perception Stack &amp; Cloud Integration - Branch ceravis1.1  |  Generated 30 June 2026</t>
        </is>
      </c>
    </row>
    <row r="3" ht="6" customHeight="1"/>
    <row r="4" ht="28" customHeight="1">
      <c r="A4" s="3" t="inlineStr">
        <is>
          <t>Category</t>
        </is>
      </c>
      <c r="B4" s="3" t="inlineStr">
        <is>
          <t>Requirement</t>
        </is>
      </c>
      <c r="C4" s="3" t="inlineStr">
        <is>
          <t>Build Status</t>
        </is>
      </c>
      <c r="D4" s="3" t="inlineStr">
        <is>
          <t>Working Status</t>
        </is>
      </c>
      <c r="E4" s="3" t="inlineStr">
        <is>
          <t>Integration Status (Cloud)</t>
        </is>
      </c>
      <c r="F4" s="3" t="inlineStr">
        <is>
          <t>Testing Status</t>
        </is>
      </c>
    </row>
    <row r="5" ht="20" customHeight="1">
      <c r="A5" s="4" t="inlineStr">
        <is>
          <t>CORE AI &amp; DETECTION PIPELINE</t>
        </is>
      </c>
      <c r="B5" s="5" t="n"/>
      <c r="C5" s="5" t="n"/>
      <c r="D5" s="5" t="n"/>
      <c r="E5" s="5" t="n"/>
      <c r="F5" s="5" t="n"/>
    </row>
    <row r="6" ht="30" customHeight="1">
      <c r="A6" s="6" t="inlineStr"/>
      <c r="B6" s="7" t="inlineStr">
        <is>
          <t>Multi-camera RTSP stream ingestion</t>
        </is>
      </c>
      <c r="C6" s="8" t="inlineStr">
        <is>
          <t>Completed</t>
        </is>
      </c>
      <c r="D6" s="8" t="inlineStr">
        <is>
          <t>Functional &amp; Verified</t>
        </is>
      </c>
      <c r="E6" s="9" t="inlineStr">
        <is>
          <t>Edge-Only (N/A)</t>
        </is>
      </c>
      <c r="F6" s="6" t="inlineStr">
        <is>
          <t>On-device tested (Jetson)</t>
        </is>
      </c>
    </row>
    <row r="7" ht="30" customHeight="1">
      <c r="A7" s="10" t="inlineStr"/>
      <c r="B7" s="11" t="inlineStr">
        <is>
          <t>Person detection (TensorRT engine)</t>
        </is>
      </c>
      <c r="C7" s="8" t="inlineStr">
        <is>
          <t>Completed</t>
        </is>
      </c>
      <c r="D7" s="8" t="inlineStr">
        <is>
          <t>Functional &amp; Verified</t>
        </is>
      </c>
      <c r="E7" s="9" t="inlineStr">
        <is>
          <t>Edge-Only (N/A)</t>
        </is>
      </c>
      <c r="F7" s="10" t="inlineStr">
        <is>
          <t>On-device tested (Jetson)</t>
        </is>
      </c>
    </row>
    <row r="8" ht="30" customHeight="1">
      <c r="A8" s="6" t="inlineStr"/>
      <c r="B8" s="7" t="inlineStr">
        <is>
          <t>Person tracking with stable ID (BoT-SORT + Kalman + appearance fusion)</t>
        </is>
      </c>
      <c r="C8" s="8" t="inlineStr">
        <is>
          <t>Completed</t>
        </is>
      </c>
      <c r="D8" s="8" t="inlineStr">
        <is>
          <t>Functional &amp; Verified</t>
        </is>
      </c>
      <c r="E8" s="9" t="inlineStr">
        <is>
          <t>Edge-Only (N/A)</t>
        </is>
      </c>
      <c r="F8" s="6" t="inlineStr">
        <is>
          <t>Unit-tested (test_botsort.py) + on-device validated</t>
        </is>
      </c>
    </row>
    <row r="9" ht="30" customHeight="1">
      <c r="A9" s="10" t="inlineStr"/>
      <c r="B9" s="11" t="inlineStr">
        <is>
          <t>Target person identification via ReID (OSNet + adaptive gallery + target lock)</t>
        </is>
      </c>
      <c r="C9" s="8" t="inlineStr">
        <is>
          <t>Completed</t>
        </is>
      </c>
      <c r="D9" s="8" t="inlineStr">
        <is>
          <t>Functional &amp; Verified</t>
        </is>
      </c>
      <c r="E9" s="9" t="inlineStr">
        <is>
          <t>Edge-Only (N/A)</t>
        </is>
      </c>
      <c r="F9" s="10" t="inlineStr">
        <is>
          <t>Unit-tested (test_target_lock.py) + confirmed end-to-end on Jetson</t>
        </is>
      </c>
    </row>
    <row r="10" ht="30" customHeight="1">
      <c r="A10" s="6" t="inlineStr"/>
      <c r="B10" s="7" t="inlineStr">
        <is>
          <t>Basic action recognition - sitting, standing, walking</t>
        </is>
      </c>
      <c r="C10" s="12" t="inlineStr">
        <is>
          <t>Ongoing</t>
        </is>
      </c>
      <c r="D10" s="12" t="inlineStr">
        <is>
          <t>Functional - Needs Validation</t>
        </is>
      </c>
      <c r="E10" s="9" t="inlineStr">
        <is>
          <t>Edge-Only (N/A)</t>
        </is>
      </c>
      <c r="F10" s="6" t="inlineStr">
        <is>
          <t>Runtime-tested (dev box); on-device smoke test pending</t>
        </is>
      </c>
    </row>
    <row r="11" ht="30" customHeight="1">
      <c r="A11" s="10" t="inlineStr"/>
      <c r="B11" s="11" t="inlineStr">
        <is>
          <t>FastAPI backend with WebSocket streaming</t>
        </is>
      </c>
      <c r="C11" s="8" t="inlineStr">
        <is>
          <t>Completed</t>
        </is>
      </c>
      <c r="D11" s="8" t="inlineStr">
        <is>
          <t>Functional &amp; Verified</t>
        </is>
      </c>
      <c r="E11" s="9" t="inlineStr">
        <is>
          <t>Edge-Only (N/A)</t>
        </is>
      </c>
      <c r="F11" s="10" t="inlineStr">
        <is>
          <t>On-device tested (Jetson)</t>
        </is>
      </c>
    </row>
    <row r="12" ht="30" customHeight="1">
      <c r="A12" s="6" t="inlineStr"/>
      <c r="B12" s="7" t="inlineStr">
        <is>
          <t>Multi-session concurrent camera handling</t>
        </is>
      </c>
      <c r="C12" s="8" t="inlineStr">
        <is>
          <t>Completed</t>
        </is>
      </c>
      <c r="D12" s="8" t="inlineStr">
        <is>
          <t>Functional &amp; Verified</t>
        </is>
      </c>
      <c r="E12" s="9" t="inlineStr">
        <is>
          <t>Edge-Only (N/A)</t>
        </is>
      </c>
      <c r="F12" s="6" t="inlineStr">
        <is>
          <t>On-device tested (Jetson)</t>
        </is>
      </c>
    </row>
    <row r="13" ht="30" customHeight="1">
      <c r="A13" s="10" t="inlineStr"/>
      <c r="B13" s="11" t="inlineStr">
        <is>
          <t>Target gallery registration from images/video (guided enrollment)</t>
        </is>
      </c>
      <c r="C13" s="8" t="inlineStr">
        <is>
          <t>Completed</t>
        </is>
      </c>
      <c r="D13" s="8" t="inlineStr">
        <is>
          <t>Functional &amp; Verified</t>
        </is>
      </c>
      <c r="E13" s="9" t="inlineStr">
        <is>
          <t>Edge-Only (N/A)</t>
        </is>
      </c>
      <c r="F13" s="10" t="inlineStr">
        <is>
          <t>On-device tested (Jetson)</t>
        </is>
      </c>
    </row>
    <row r="14" ht="30" customHeight="1">
      <c r="A14" s="6" t="inlineStr"/>
      <c r="B14" s="7" t="inlineStr">
        <is>
          <t>Session start/stop/status management</t>
        </is>
      </c>
      <c r="C14" s="8" t="inlineStr">
        <is>
          <t>Completed</t>
        </is>
      </c>
      <c r="D14" s="8" t="inlineStr">
        <is>
          <t>Functional &amp; Verified</t>
        </is>
      </c>
      <c r="E14" s="9" t="inlineStr">
        <is>
          <t>Edge-Only (N/A)</t>
        </is>
      </c>
      <c r="F14" s="6" t="inlineStr">
        <is>
          <t>On-device tested (Jetson)</t>
        </is>
      </c>
    </row>
    <row r="15" ht="30" customHeight="1">
      <c r="A15" s="10" t="inlineStr"/>
      <c r="B15" s="11" t="inlineStr">
        <is>
          <t>Timestamped action/event logs</t>
        </is>
      </c>
      <c r="C15" s="8" t="inlineStr">
        <is>
          <t>Completed</t>
        </is>
      </c>
      <c r="D15" s="8" t="inlineStr">
        <is>
          <t>Functional &amp; Verified</t>
        </is>
      </c>
      <c r="E15" s="9" t="inlineStr">
        <is>
          <t>Edge-Only (N/A)</t>
        </is>
      </c>
      <c r="F15" s="10" t="inlineStr">
        <is>
          <t>On-device tested (Jetson)</t>
        </is>
      </c>
    </row>
    <row r="16" ht="30" customHeight="1">
      <c r="A16" s="6" t="inlineStr"/>
      <c r="B16" s="7" t="inlineStr">
        <is>
          <t>Performance monitoring per pipeline stage</t>
        </is>
      </c>
      <c r="C16" s="8" t="inlineStr">
        <is>
          <t>Completed</t>
        </is>
      </c>
      <c r="D16" s="8" t="inlineStr">
        <is>
          <t>Functional &amp; Verified</t>
        </is>
      </c>
      <c r="E16" s="9" t="inlineStr">
        <is>
          <t>Edge-Only (N/A)</t>
        </is>
      </c>
      <c r="F16" s="6" t="inlineStr">
        <is>
          <t>On-device tested (Jetson)</t>
        </is>
      </c>
    </row>
    <row r="17" ht="20" customHeight="1">
      <c r="A17" s="4" t="inlineStr">
        <is>
          <t>CAMERA &amp; ZONE CONFIGURATION</t>
        </is>
      </c>
      <c r="B17" s="5" t="n"/>
      <c r="C17" s="5" t="n"/>
      <c r="D17" s="5" t="n"/>
      <c r="E17" s="5" t="n"/>
      <c r="F17" s="5" t="n"/>
    </row>
    <row r="18" ht="30" customHeight="1">
      <c r="A18" s="10" t="inlineStr"/>
      <c r="B18" s="11" t="inlineStr">
        <is>
          <t>Support 2, 3, or 4 IP cameras per care recipient</t>
        </is>
      </c>
      <c r="C18" s="13" t="inlineStr">
        <is>
          <t>Partial</t>
        </is>
      </c>
      <c r="D18" s="12" t="inlineStr">
        <is>
          <t>Functional - Needs Validation</t>
        </is>
      </c>
      <c r="E18" s="8" t="inlineStr">
        <is>
          <t>Cloud-Integrated</t>
        </is>
      </c>
      <c r="F18" s="10" t="inlineStr">
        <is>
          <t>On-device tested (setup wizard flow)</t>
        </is>
      </c>
    </row>
    <row r="19" ht="30" customHeight="1">
      <c r="A19" s="6" t="inlineStr"/>
      <c r="B19" s="7" t="inlineStr">
        <is>
          <t>Camera numbering (1-4) + room labeling (Kitchen/Living Room/Bedroom/Lounge)</t>
        </is>
      </c>
      <c r="C19" s="8" t="inlineStr">
        <is>
          <t>Completed</t>
        </is>
      </c>
      <c r="D19" s="8" t="inlineStr">
        <is>
          <t>Functional &amp; Verified</t>
        </is>
      </c>
      <c r="E19" s="8" t="inlineStr">
        <is>
          <t>Cloud-Integrated (saveCamera)</t>
        </is>
      </c>
      <c r="F19" s="6" t="inlineStr">
        <is>
          <t>On-device tested (Jetson)</t>
        </is>
      </c>
    </row>
    <row r="20" ht="30" customHeight="1">
      <c r="A20" s="10" t="inlineStr"/>
      <c r="B20" s="11" t="inlineStr">
        <is>
          <t>Special designation - * bathroom entrance, &amp; home entrance/egress</t>
        </is>
      </c>
      <c r="C20" s="8" t="inlineStr">
        <is>
          <t>Completed</t>
        </is>
      </c>
      <c r="D20" s="8" t="inlineStr">
        <is>
          <t>Functional &amp; Verified</t>
        </is>
      </c>
      <c r="E20" s="8" t="inlineStr">
        <is>
          <t>Cloud-Integrated (reflected in alert text)</t>
        </is>
      </c>
      <c r="F20" s="10" t="inlineStr">
        <is>
          <t>On-device tested (Jetson)</t>
        </is>
      </c>
    </row>
    <row r="21" ht="30" customHeight="1">
      <c r="A21" s="6" t="inlineStr"/>
      <c r="B21" s="7" t="inlineStr">
        <is>
          <t>Subdivide rooms into named functional areas (fridge, stove, bed, couch, etc.)</t>
        </is>
      </c>
      <c r="C21" s="13" t="inlineStr">
        <is>
          <t>Partial</t>
        </is>
      </c>
      <c r="D21" s="12" t="inlineStr">
        <is>
          <t>Functional - Needs Validation</t>
        </is>
      </c>
      <c r="E21" s="9" t="inlineStr">
        <is>
          <t>Edge-Only (N/A)</t>
        </is>
      </c>
      <c r="F21" s="6" t="inlineStr">
        <is>
          <t>Runtime-tested (zone-drawing tool)</t>
        </is>
      </c>
    </row>
    <row r="22" ht="30" customHeight="1">
      <c r="A22" s="10" t="inlineStr"/>
      <c r="B22" s="11" t="inlineStr">
        <is>
          <t>Privacy blur / off-limits area masking</t>
        </is>
      </c>
      <c r="C22" s="14" t="inlineStr">
        <is>
          <t>Not Built</t>
        </is>
      </c>
      <c r="D22" s="14" t="inlineStr">
        <is>
          <t>Not Started</t>
        </is>
      </c>
      <c r="E22" s="14" t="inlineStr">
        <is>
          <t>Not Started</t>
        </is>
      </c>
      <c r="F22" s="10" t="inlineStr">
        <is>
          <t>Not tested</t>
        </is>
      </c>
    </row>
    <row r="23" ht="30" customHeight="1">
      <c r="A23" s="6" t="inlineStr"/>
      <c r="B23" s="7" t="inlineStr">
        <is>
          <t>PTZ camera support and control</t>
        </is>
      </c>
      <c r="C23" s="14" t="inlineStr">
        <is>
          <t>Not Built</t>
        </is>
      </c>
      <c r="D23" s="14" t="inlineStr">
        <is>
          <t>Not Started</t>
        </is>
      </c>
      <c r="E23" s="14" t="inlineStr">
        <is>
          <t>Not Started</t>
        </is>
      </c>
      <c r="F23" s="6" t="inlineStr">
        <is>
          <t>Not tested</t>
        </is>
      </c>
    </row>
    <row r="24" ht="20" customHeight="1">
      <c r="A24" s="4" t="inlineStr">
        <is>
          <t>EVENT SNAPSHOT &amp; CLIP CAPTURE</t>
        </is>
      </c>
      <c r="B24" s="5" t="n"/>
      <c r="C24" s="5" t="n"/>
      <c r="D24" s="5" t="n"/>
      <c r="E24" s="5" t="n"/>
      <c r="F24" s="5" t="n"/>
    </row>
    <row r="25" ht="30" customHeight="1">
      <c r="A25" s="10" t="inlineStr"/>
      <c r="B25" s="11" t="inlineStr">
        <is>
          <t>Single best-frame snapshot capture per confirmed event (raw frame, no overlay)</t>
        </is>
      </c>
      <c r="C25" s="8" t="inlineStr">
        <is>
          <t>Completed</t>
        </is>
      </c>
      <c r="D25" s="8" t="inlineStr">
        <is>
          <t>Functional &amp; Verified</t>
        </is>
      </c>
      <c r="E25" s="8" t="inlineStr">
        <is>
          <t>Cloud-Integrated (saveSnapshot)</t>
        </is>
      </c>
      <c r="F25" s="10" t="inlineStr">
        <is>
          <t>On-device tested (Jetson)</t>
        </is>
      </c>
    </row>
    <row r="26" ht="30" customHeight="1">
      <c r="A26" s="6" t="inlineStr"/>
      <c r="B26" s="7" t="inlineStr">
        <is>
          <t>Motion duration tally and classification (&lt;5s / 5-10s / &gt;=10s)</t>
        </is>
      </c>
      <c r="C26" s="14" t="inlineStr">
        <is>
          <t>Not Built</t>
        </is>
      </c>
      <c r="D26" s="14" t="inlineStr">
        <is>
          <t>Not Started</t>
        </is>
      </c>
      <c r="E26" s="14" t="inlineStr">
        <is>
          <t>Not Started</t>
        </is>
      </c>
      <c r="F26" s="6" t="inlineStr">
        <is>
          <t>Not tested</t>
        </is>
      </c>
    </row>
    <row r="27" ht="30" customHeight="1">
      <c r="A27" s="10" t="inlineStr"/>
      <c r="B27" s="11" t="inlineStr">
        <is>
          <t>3-frame (first / middle / last) significant-motion summary tile</t>
        </is>
      </c>
      <c r="C27" s="14" t="inlineStr">
        <is>
          <t>Not Built - planned (Phase B)</t>
        </is>
      </c>
      <c r="D27" s="14" t="inlineStr">
        <is>
          <t>Not Started</t>
        </is>
      </c>
      <c r="E27" s="14" t="inlineStr">
        <is>
          <t>Not Started</t>
        </is>
      </c>
      <c r="F27" s="10" t="inlineStr">
        <is>
          <t>Not tested</t>
        </is>
      </c>
    </row>
    <row r="28" ht="30" customHeight="1">
      <c r="A28" s="6" t="inlineStr"/>
      <c r="B28" s="7" t="inlineStr">
        <is>
          <t>Auto-generated event label (Camera ID + room + area + timestamp)</t>
        </is>
      </c>
      <c r="C28" s="13" t="inlineStr">
        <is>
          <t>Partial</t>
        </is>
      </c>
      <c r="D28" s="12" t="inlineStr">
        <is>
          <t>Functional - Needs Validation</t>
        </is>
      </c>
      <c r="E28" s="8" t="inlineStr">
        <is>
          <t>Cloud-Integrated (alert text format)</t>
        </is>
      </c>
      <c r="F28" s="6" t="inlineStr">
        <is>
          <t>On-device tested (Jetson)</t>
        </is>
      </c>
    </row>
    <row r="29" ht="30" customHeight="1">
      <c r="A29" s="10" t="inlineStr"/>
      <c r="B29" s="11" t="inlineStr">
        <is>
          <t>Monitoring-page snapshot tile per recipient, per date</t>
        </is>
      </c>
      <c r="C29" s="14" t="inlineStr">
        <is>
          <t>Not Built</t>
        </is>
      </c>
      <c r="D29" s="14" t="inlineStr">
        <is>
          <t>Not Started</t>
        </is>
      </c>
      <c r="E29" s="14" t="inlineStr">
        <is>
          <t>Not Started</t>
        </is>
      </c>
      <c r="F29" s="10" t="inlineStr">
        <is>
          <t>Not tested</t>
        </is>
      </c>
    </row>
    <row r="30" ht="30" customHeight="1">
      <c r="A30" s="6" t="inlineStr"/>
      <c r="B30" s="7" t="inlineStr">
        <is>
          <t>Save / erase clip review workflow for video monitor</t>
        </is>
      </c>
      <c r="C30" s="14" t="inlineStr">
        <is>
          <t>Not Built</t>
        </is>
      </c>
      <c r="D30" s="14" t="inlineStr">
        <is>
          <t>Not Started</t>
        </is>
      </c>
      <c r="E30" s="14" t="inlineStr">
        <is>
          <t>Not Started</t>
        </is>
      </c>
      <c r="F30" s="6" t="inlineStr">
        <is>
          <t>Not tested</t>
        </is>
      </c>
    </row>
    <row r="31" ht="30" customHeight="1">
      <c r="A31" s="10" t="inlineStr"/>
      <c r="B31" s="11" t="inlineStr">
        <is>
          <t>24-hour clip retention policy</t>
        </is>
      </c>
      <c r="C31" s="14" t="inlineStr">
        <is>
          <t>Not Built</t>
        </is>
      </c>
      <c r="D31" s="14" t="inlineStr">
        <is>
          <t>Not Started</t>
        </is>
      </c>
      <c r="E31" s="14" t="inlineStr">
        <is>
          <t>Not Started</t>
        </is>
      </c>
      <c r="F31" s="10" t="inlineStr">
        <is>
          <t>Not tested</t>
        </is>
      </c>
    </row>
    <row r="32" ht="20" customHeight="1">
      <c r="A32" s="4" t="inlineStr">
        <is>
          <t>POSITION &amp; TRANSITION DETECTION</t>
        </is>
      </c>
      <c r="B32" s="5" t="n"/>
      <c r="C32" s="5" t="n"/>
      <c r="D32" s="5" t="n"/>
      <c r="E32" s="5" t="n"/>
      <c r="F32" s="5" t="n"/>
    </row>
    <row r="33" ht="30" customHeight="1">
      <c r="A33" s="6" t="inlineStr"/>
      <c r="B33" s="7" t="inlineStr">
        <is>
          <t>Head displacement &gt;25cm (1 ft) trigger + capture</t>
        </is>
      </c>
      <c r="C33" s="14" t="inlineStr">
        <is>
          <t>Not Built</t>
        </is>
      </c>
      <c r="D33" s="14" t="inlineStr">
        <is>
          <t>Not Started</t>
        </is>
      </c>
      <c r="E33" s="14" t="inlineStr">
        <is>
          <t>Not Started</t>
        </is>
      </c>
      <c r="F33" s="6" t="inlineStr">
        <is>
          <t>Not tested</t>
        </is>
      </c>
    </row>
    <row r="34" ht="30" customHeight="1">
      <c r="A34" s="10" t="inlineStr"/>
      <c r="B34" s="11" t="inlineStr">
        <is>
          <t>Room / area transition detection + 3-frame summary</t>
        </is>
      </c>
      <c r="C34" s="14" t="inlineStr">
        <is>
          <t>Not Built</t>
        </is>
      </c>
      <c r="D34" s="14" t="inlineStr">
        <is>
          <t>Not Started</t>
        </is>
      </c>
      <c r="E34" s="14" t="inlineStr">
        <is>
          <t>Not Started</t>
        </is>
      </c>
      <c r="F34" s="10" t="inlineStr">
        <is>
          <t>Not tested</t>
        </is>
      </c>
    </row>
    <row r="35" ht="20" customHeight="1">
      <c r="A35" s="4" t="inlineStr">
        <is>
          <t>ONBOARDING &amp; PERSON REGISTRATION</t>
        </is>
      </c>
      <c r="B35" s="5" t="n"/>
      <c r="C35" s="5" t="n"/>
      <c r="D35" s="5" t="n"/>
      <c r="E35" s="5" t="n"/>
      <c r="F35" s="5" t="n"/>
    </row>
    <row r="36" ht="30" customHeight="1">
      <c r="A36" s="6" t="inlineStr"/>
      <c r="B36" s="7" t="inlineStr">
        <is>
          <t>Full-length intake capture - standing, sitting, lying down</t>
        </is>
      </c>
      <c r="C36" s="13" t="inlineStr">
        <is>
          <t>Partial</t>
        </is>
      </c>
      <c r="D36" s="12" t="inlineStr">
        <is>
          <t>Functional - Needs Validation</t>
        </is>
      </c>
      <c r="E36" s="9" t="inlineStr">
        <is>
          <t>Edge-Only (N/A)</t>
        </is>
      </c>
      <c r="F36" s="6" t="inlineStr">
        <is>
          <t>Runtime-tested (guided sit/stand grid; lying-down pose not explicit)</t>
        </is>
      </c>
    </row>
    <row r="37" ht="30" customHeight="1">
      <c r="A37" s="10" t="inlineStr"/>
      <c r="B37" s="11" t="inlineStr">
        <is>
          <t>Frequent visitor registration - family, caregivers, cleaning aides</t>
        </is>
      </c>
      <c r="C37" s="13" t="inlineStr">
        <is>
          <t>Partial</t>
        </is>
      </c>
      <c r="D37" s="12" t="inlineStr">
        <is>
          <t>Functional - Needs Validation</t>
        </is>
      </c>
      <c r="E37" s="9" t="inlineStr">
        <is>
          <t>Edge-Only (N/A)</t>
        </is>
      </c>
      <c r="F37" s="10" t="inlineStr">
        <is>
          <t>Runtime-tested</t>
        </is>
      </c>
    </row>
    <row r="38" ht="30" customHeight="1">
      <c r="A38" s="6" t="inlineStr"/>
      <c r="B38" s="7" t="inlineStr">
        <is>
          <t>Visitor registration linked to care recipient profile</t>
        </is>
      </c>
      <c r="C38" s="14" t="inlineStr">
        <is>
          <t>Not Built</t>
        </is>
      </c>
      <c r="D38" s="14" t="inlineStr">
        <is>
          <t>Not Started</t>
        </is>
      </c>
      <c r="E38" s="14" t="inlineStr">
        <is>
          <t>Not Started</t>
        </is>
      </c>
      <c r="F38" s="6" t="inlineStr">
        <is>
          <t>Not tested</t>
        </is>
      </c>
    </row>
    <row r="39" ht="20" customHeight="1">
      <c r="A39" s="4" t="inlineStr">
        <is>
          <t>MULTI-OCCUPANT &amp; VISITOR HANDLING</t>
        </is>
      </c>
      <c r="B39" s="5" t="n"/>
      <c r="C39" s="5" t="n"/>
      <c r="D39" s="5" t="n"/>
      <c r="E39" s="5" t="n"/>
      <c r="F39" s="5" t="n"/>
    </row>
    <row r="40" ht="30" customHeight="1">
      <c r="A40" s="10" t="inlineStr"/>
      <c r="B40" s="11" t="inlineStr">
        <is>
          <t>Detect when a second person enters (visit-session rule)</t>
        </is>
      </c>
      <c r="C40" s="13" t="inlineStr">
        <is>
          <t>Partial</t>
        </is>
      </c>
      <c r="D40" s="12" t="inlineStr">
        <is>
          <t>Functional - Needs Validation</t>
        </is>
      </c>
      <c r="E40" s="9" t="inlineStr">
        <is>
          <t>Edge-Only (N/A)</t>
        </is>
      </c>
      <c r="F40" s="10" t="inlineStr">
        <is>
          <t>Runtime-tested</t>
        </is>
      </c>
    </row>
    <row r="41" ht="30" customHeight="1">
      <c r="A41" s="6" t="inlineStr"/>
      <c r="B41" s="7" t="inlineStr">
        <is>
          <t>Note arrival time, mid-visit, and departure time of visitors</t>
        </is>
      </c>
      <c r="C41" s="13" t="inlineStr">
        <is>
          <t>Partial</t>
        </is>
      </c>
      <c r="D41" s="12" t="inlineStr">
        <is>
          <t>Functional - Needs Validation</t>
        </is>
      </c>
      <c r="E41" s="9" t="inlineStr">
        <is>
          <t>Edge-Only (N/A)</t>
        </is>
      </c>
      <c r="F41" s="6" t="inlineStr">
        <is>
          <t>Runtime-tested (duration tracked; 3-frame capture not built)</t>
        </is>
      </c>
    </row>
    <row r="42" ht="30" customHeight="1">
      <c r="A42" s="10" t="inlineStr"/>
      <c r="B42" s="11" t="inlineStr">
        <is>
          <t>Visitor identity ReID (separate gallery from recipient)</t>
        </is>
      </c>
      <c r="C42" s="14" t="inlineStr">
        <is>
          <t>Not Built</t>
        </is>
      </c>
      <c r="D42" s="14" t="inlineStr">
        <is>
          <t>Not Started</t>
        </is>
      </c>
      <c r="E42" s="14" t="inlineStr">
        <is>
          <t>Not Started</t>
        </is>
      </c>
      <c r="F42" s="10" t="inlineStr">
        <is>
          <t>Not tested</t>
        </is>
      </c>
    </row>
    <row r="43" ht="20" customHeight="1">
      <c r="A43" s="4" t="inlineStr">
        <is>
          <t>INACTIVITY MONITORING</t>
        </is>
      </c>
      <c r="B43" s="5" t="n"/>
      <c r="C43" s="5" t="n"/>
      <c r="D43" s="5" t="n"/>
      <c r="E43" s="5" t="n"/>
      <c r="F43" s="5" t="n"/>
    </row>
    <row r="44" ht="30" customHeight="1">
      <c r="A44" s="6" t="inlineStr"/>
      <c r="B44" s="7" t="inlineStr">
        <is>
          <t>Alert when recipient alone and inactive for 30 minutes (area-aware rule)</t>
        </is>
      </c>
      <c r="C44" s="13" t="inlineStr">
        <is>
          <t>Partial</t>
        </is>
      </c>
      <c r="D44" s="12" t="inlineStr">
        <is>
          <t>Functional - Needs Validation</t>
        </is>
      </c>
      <c r="E44" s="9" t="inlineStr">
        <is>
          <t>Edge-Only (N/A)</t>
        </is>
      </c>
      <c r="F44" s="6" t="inlineStr">
        <is>
          <t>Runtime-tested</t>
        </is>
      </c>
    </row>
    <row r="45" ht="30" customHeight="1">
      <c r="A45" s="10" t="inlineStr"/>
      <c r="B45" s="11" t="inlineStr">
        <is>
          <t>Minimum activity snapshot every 30 minutes during prolonged inactivity</t>
        </is>
      </c>
      <c r="C45" s="14" t="inlineStr">
        <is>
          <t>Not Built</t>
        </is>
      </c>
      <c r="D45" s="14" t="inlineStr">
        <is>
          <t>Not Started</t>
        </is>
      </c>
      <c r="E45" s="14" t="inlineStr">
        <is>
          <t>Not Started</t>
        </is>
      </c>
      <c r="F45" s="10" t="inlineStr">
        <is>
          <t>Not tested</t>
        </is>
      </c>
    </row>
    <row r="46" ht="20" customHeight="1">
      <c r="A46" s="4" t="inlineStr">
        <is>
          <t>FALL DETECTION</t>
        </is>
      </c>
      <c r="B46" s="5" t="n"/>
      <c r="C46" s="5" t="n"/>
      <c r="D46" s="5" t="n"/>
      <c r="E46" s="5" t="n"/>
      <c r="F46" s="5" t="n"/>
    </row>
    <row r="47" ht="30" customHeight="1">
      <c r="A47" s="6" t="inlineStr"/>
      <c r="B47" s="7" t="inlineStr">
        <is>
          <t>Detect fall - body low + immobile for &gt;30s (scene-aware FSM)</t>
        </is>
      </c>
      <c r="C47" s="8" t="inlineStr">
        <is>
          <t>Completed</t>
        </is>
      </c>
      <c r="D47" s="8" t="inlineStr">
        <is>
          <t>Functional &amp; Verified</t>
        </is>
      </c>
      <c r="E47" s="8" t="inlineStr">
        <is>
          <t>Cloud-Integrated (saveAlert + saveSnapshot)</t>
        </is>
      </c>
      <c r="F47" s="6" t="inlineStr">
        <is>
          <t>Unit-tested (test_fall_fsm.py) + on-device tested</t>
        </is>
      </c>
    </row>
    <row r="48" ht="30" customHeight="1">
      <c r="A48" s="10" t="inlineStr"/>
      <c r="B48" s="11" t="inlineStr">
        <is>
          <t>Distinguish fall from intentional lying down (rest-zone gating)</t>
        </is>
      </c>
      <c r="C48" s="8" t="inlineStr">
        <is>
          <t>Completed</t>
        </is>
      </c>
      <c r="D48" s="8" t="inlineStr">
        <is>
          <t>Functional &amp; Verified</t>
        </is>
      </c>
      <c r="E48" s="8" t="inlineStr">
        <is>
          <t>Cloud-Integrated</t>
        </is>
      </c>
      <c r="F48" s="10" t="inlineStr">
        <is>
          <t>On-device tested (Jetson)</t>
        </is>
      </c>
    </row>
    <row r="49" ht="30" customHeight="1">
      <c r="A49" s="6" t="inlineStr"/>
      <c r="B49" s="7" t="inlineStr">
        <is>
          <t>Urgent alert sent to video monitor on confirmed fall</t>
        </is>
      </c>
      <c r="C49" s="8" t="inlineStr">
        <is>
          <t>Completed</t>
        </is>
      </c>
      <c r="D49" s="8" t="inlineStr">
        <is>
          <t>Functional &amp; Verified</t>
        </is>
      </c>
      <c r="E49" s="8" t="inlineStr">
        <is>
          <t>Cloud-Integrated (saveAlert)</t>
        </is>
      </c>
      <c r="F49" s="6" t="inlineStr">
        <is>
          <t>On-device tested (Jetson)</t>
        </is>
      </c>
    </row>
    <row r="50" ht="30" customHeight="1">
      <c r="A50" s="10" t="inlineStr"/>
      <c r="B50" s="11" t="inlineStr">
        <is>
          <t>Monitor confirmation / response-initiation workflow</t>
        </is>
      </c>
      <c r="C50" s="13" t="inlineStr">
        <is>
          <t>Partial</t>
        </is>
      </c>
      <c r="D50" s="12" t="inlineStr">
        <is>
          <t>Functional - Needs Validation</t>
        </is>
      </c>
      <c r="E50" s="8" t="inlineStr">
        <is>
          <t>Cloud-Integrated</t>
        </is>
      </c>
      <c r="F50" s="10" t="inlineStr">
        <is>
          <t>Runtime-tested (WS live banner + ack; formal response workflow pending)</t>
        </is>
      </c>
    </row>
    <row r="51" ht="20" customHeight="1">
      <c r="A51" s="4" t="inlineStr">
        <is>
          <t>CAREGIVER MONITORING</t>
        </is>
      </c>
      <c r="B51" s="5" t="n"/>
      <c r="C51" s="5" t="n"/>
      <c r="D51" s="5" t="n"/>
      <c r="E51" s="5" t="n"/>
      <c r="F51" s="5" t="n"/>
    </row>
    <row r="52" ht="30" customHeight="1">
      <c r="A52" s="6" t="inlineStr"/>
      <c r="B52" s="7" t="inlineStr">
        <is>
          <t>Detect caregiver arrival on time</t>
        </is>
      </c>
      <c r="C52" s="14" t="inlineStr">
        <is>
          <t>Not Built</t>
        </is>
      </c>
      <c r="D52" s="14" t="inlineStr">
        <is>
          <t>Not Started</t>
        </is>
      </c>
      <c r="E52" s="14" t="inlineStr">
        <is>
          <t>Not Started</t>
        </is>
      </c>
      <c r="F52" s="6" t="inlineStr">
        <is>
          <t>Not tested</t>
        </is>
      </c>
    </row>
    <row r="53" ht="30" customHeight="1">
      <c r="A53" s="10" t="inlineStr"/>
      <c r="B53" s="11" t="inlineStr">
        <is>
          <t>Monitor caregiver demeanor and activity during visit</t>
        </is>
      </c>
      <c r="C53" s="14" t="inlineStr">
        <is>
          <t>Not Built</t>
        </is>
      </c>
      <c r="D53" s="14" t="inlineStr">
        <is>
          <t>Not Started</t>
        </is>
      </c>
      <c r="E53" s="14" t="inlineStr">
        <is>
          <t>Not Started</t>
        </is>
      </c>
      <c r="F53" s="10" t="inlineStr">
        <is>
          <t>Not tested</t>
        </is>
      </c>
    </row>
    <row r="54" ht="30" customHeight="1">
      <c r="A54" s="6" t="inlineStr"/>
      <c r="B54" s="7" t="inlineStr">
        <is>
          <t>Log caregiver onsite duration</t>
        </is>
      </c>
      <c r="C54" s="14" t="inlineStr">
        <is>
          <t>Not Built</t>
        </is>
      </c>
      <c r="D54" s="14" t="inlineStr">
        <is>
          <t>Not Started</t>
        </is>
      </c>
      <c r="E54" s="14" t="inlineStr">
        <is>
          <t>Not Started</t>
        </is>
      </c>
      <c r="F54" s="6" t="inlineStr">
        <is>
          <t>Not tested</t>
        </is>
      </c>
    </row>
    <row r="55" ht="20" customHeight="1">
      <c r="A55" s="4" t="inlineStr">
        <is>
          <t>ALERT SYSTEM &amp; CLOUD INTEGRATION</t>
        </is>
      </c>
      <c r="B55" s="5" t="n"/>
      <c r="C55" s="5" t="n"/>
      <c r="D55" s="5" t="n"/>
      <c r="E55" s="5" t="n"/>
      <c r="F55" s="5" t="n"/>
    </row>
    <row r="56" ht="30" customHeight="1">
      <c r="A56" s="10" t="inlineStr"/>
      <c r="B56" s="11" t="inlineStr">
        <is>
          <t>Central alert hub (live event feed)</t>
        </is>
      </c>
      <c r="C56" s="13" t="inlineStr">
        <is>
          <t>Partial</t>
        </is>
      </c>
      <c r="D56" s="12" t="inlineStr">
        <is>
          <t>Functional - Needs Validation</t>
        </is>
      </c>
      <c r="E56" s="8" t="inlineStr">
        <is>
          <t>Cloud-Integrated</t>
        </is>
      </c>
      <c r="F56" s="10" t="inlineStr">
        <is>
          <t>Runtime-tested (WS stream + monitor banner; dedicated alert-center UI pending)</t>
        </is>
      </c>
    </row>
    <row r="57" ht="30" customHeight="1">
      <c r="A57" s="6" t="inlineStr"/>
      <c r="B57" s="7" t="inlineStr">
        <is>
          <t>Urgent fall alert with caregiver acknowledgement</t>
        </is>
      </c>
      <c r="C57" s="8" t="inlineStr">
        <is>
          <t>Completed</t>
        </is>
      </c>
      <c r="D57" s="8" t="inlineStr">
        <is>
          <t>Functional &amp; Verified</t>
        </is>
      </c>
      <c r="E57" s="8" t="inlineStr">
        <is>
          <t>Cloud-Integrated</t>
        </is>
      </c>
      <c r="F57" s="6" t="inlineStr">
        <is>
          <t>On-device tested (Jetson)</t>
        </is>
      </c>
    </row>
    <row r="58" ht="30" customHeight="1">
      <c r="A58" s="10" t="inlineStr"/>
      <c r="B58" s="11" t="inlineStr">
        <is>
          <t>Alert acknowledgement tracking with response initiation</t>
        </is>
      </c>
      <c r="C58" s="13" t="inlineStr">
        <is>
          <t>Partial</t>
        </is>
      </c>
      <c r="D58" s="12" t="inlineStr">
        <is>
          <t>Functional - Needs Validation</t>
        </is>
      </c>
      <c r="E58" s="8" t="inlineStr">
        <is>
          <t>Cloud-Integrated</t>
        </is>
      </c>
      <c r="F58" s="10" t="inlineStr">
        <is>
          <t>Runtime-tested</t>
        </is>
      </c>
    </row>
    <row r="59" ht="30" customHeight="1">
      <c r="A59" s="6" t="inlineStr"/>
      <c r="B59" s="7" t="inlineStr">
        <is>
          <t>Save / erase clip workflow on routine check</t>
        </is>
      </c>
      <c r="C59" s="14" t="inlineStr">
        <is>
          <t>Not Built</t>
        </is>
      </c>
      <c r="D59" s="14" t="inlineStr">
        <is>
          <t>Not Started</t>
        </is>
      </c>
      <c r="E59" s="14" t="inlineStr">
        <is>
          <t>Not Started</t>
        </is>
      </c>
      <c r="F59" s="6" t="inlineStr">
        <is>
          <t>Not tested</t>
        </is>
      </c>
    </row>
    <row r="60" ht="30" customHeight="1">
      <c r="A60" s="10" t="inlineStr"/>
      <c r="B60" s="11" t="inlineStr">
        <is>
          <t>Cloud sync - userDetails / saveCamera / saveAlert / saveSnapshot endpoints</t>
        </is>
      </c>
      <c r="C60" s="8" t="inlineStr">
        <is>
          <t>Completed</t>
        </is>
      </c>
      <c r="D60" s="8" t="inlineStr">
        <is>
          <t>Functional &amp; Verified</t>
        </is>
      </c>
      <c r="E60" s="8" t="inlineStr">
        <is>
          <t>Cloud-Integrated</t>
        </is>
      </c>
      <c r="F60" s="10" t="inlineStr">
        <is>
          <t>On-device tested - verified live against production cloud server</t>
        </is>
      </c>
    </row>
  </sheetData>
  <autoFilter ref="A4:F60"/>
  <mergeCells count="12">
    <mergeCell ref="A24:F24"/>
    <mergeCell ref="A2:F2"/>
    <mergeCell ref="A51:F51"/>
    <mergeCell ref="A46:F46"/>
    <mergeCell ref="A1:F1"/>
    <mergeCell ref="A5:F5"/>
    <mergeCell ref="A32:F32"/>
    <mergeCell ref="A17:F17"/>
    <mergeCell ref="A35:F35"/>
    <mergeCell ref="A39:F39"/>
    <mergeCell ref="A55:F55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</cols>
  <sheetData>
    <row r="1" ht="28" customHeight="1">
      <c r="A1" s="1" t="inlineStr">
        <is>
          <t>CERAVIS AI - DELIVERY SUMMARY</t>
        </is>
      </c>
    </row>
    <row r="2">
      <c r="A2" s="2" t="inlineStr">
        <is>
          <t>Auto-tallied from System Status sheet</t>
        </is>
      </c>
    </row>
    <row r="4">
      <c r="A4" s="15" t="inlineStr">
        <is>
          <t>Build Status</t>
        </is>
      </c>
      <c r="B4" s="15" t="inlineStr">
        <is>
          <t>Count</t>
        </is>
      </c>
      <c r="C4" s="15" t="inlineStr">
        <is>
          <t>% of Requirements</t>
        </is>
      </c>
    </row>
    <row r="5">
      <c r="A5" s="16" t="inlineStr">
        <is>
          <t>Completed</t>
        </is>
      </c>
      <c r="B5" s="17">
        <f>COUNTIF('System Status'!C5:C60,"Completed*")</f>
        <v/>
      </c>
      <c r="C5" s="18">
        <f>B5/56</f>
        <v/>
      </c>
    </row>
    <row r="6">
      <c r="A6" s="19" t="inlineStr">
        <is>
          <t>Ongoing</t>
        </is>
      </c>
      <c r="B6" s="17">
        <f>COUNTIF('System Status'!C5:C60,"Ongoing*")</f>
        <v/>
      </c>
      <c r="C6" s="18">
        <f>B6/56</f>
        <v/>
      </c>
    </row>
    <row r="7">
      <c r="A7" s="20" t="inlineStr">
        <is>
          <t>Partial</t>
        </is>
      </c>
      <c r="B7" s="17">
        <f>COUNTIF('System Status'!C5:C60,"Partial*")</f>
        <v/>
      </c>
      <c r="C7" s="18">
        <f>B7/56</f>
        <v/>
      </c>
    </row>
    <row r="8">
      <c r="A8" s="21" t="inlineStr">
        <is>
          <t>Not Built</t>
        </is>
      </c>
      <c r="B8" s="17">
        <f>COUNTIF('System Status'!C5:C60,"Not Built*")</f>
        <v/>
      </c>
      <c r="C8" s="18">
        <f>B8/56</f>
        <v/>
      </c>
    </row>
    <row r="9">
      <c r="A9" s="22" t="inlineStr">
        <is>
          <t>TOTAL</t>
        </is>
      </c>
      <c r="B9" s="22">
        <f>SUM(B5:B8)</f>
        <v/>
      </c>
      <c r="C9" s="23">
        <f>SUM(C5:C8)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2026-06-30T06:45:07Z</dcterms:created>
  <dcterms:modified xsi:type="dcterms:W3CDTF">2026-06-30T06:45:07Z</dcterms:modified>
</cp:coreProperties>
</file>